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xecutive Summary" sheetId="1" state="visible" r:id="rId1"/>
    <sheet name="Revenue Analysis" sheetId="2" state="visible" r:id="rId2"/>
    <sheet name="Commentary" sheetId="3" state="visible" r:id="rId3"/>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6"/>
    </font>
    <font>
      <b val="1"/>
      <sz val="13"/>
    </font>
    <font>
      <b val="1"/>
    </font>
    <font>
      <b val="1"/>
      <i val="1"/>
    </font>
  </fonts>
  <fills count="4">
    <fill>
      <patternFill/>
    </fill>
    <fill>
      <patternFill patternType="gray125"/>
    </fill>
    <fill>
      <patternFill patternType="solid">
        <fgColor rgb="00DDDDDD"/>
      </patternFill>
    </fill>
    <fill>
      <patternFill patternType="solid">
        <fgColor rgb="00CCDDEE"/>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3" fillId="2" borderId="0" pivotButton="0" quotePrefix="0" xfId="0"/>
    <xf numFmtId="0" fontId="3" fillId="3"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Q4 2025 Revenue by Product Line ($000)</a:t>
            </a:r>
          </a:p>
        </rich>
      </tx>
    </title>
    <plotArea>
      <barChart>
        <barDir val="col"/>
        <grouping val="clustered"/>
        <ser>
          <idx val="0"/>
          <order val="0"/>
          <tx>
            <strRef>
              <f>'Revenue Analysis'!B15</f>
            </strRef>
          </tx>
          <spPr>
            <a:ln>
              <a:prstDash val="solid"/>
            </a:ln>
          </spPr>
          <cat>
            <numRef>
              <f>'Revenue Analysis'!$A$16:$A$18</f>
            </numRef>
          </cat>
          <val>
            <numRef>
              <f>'Revenue Analysis'!$B$16:$B$18</f>
            </numRef>
          </val>
        </ser>
        <gapWidth val="150"/>
        <axId val="10"/>
        <axId val="100"/>
      </barChart>
      <catAx>
        <axId val="10"/>
        <scaling>
          <orientation val="minMax"/>
        </scaling>
        <axPos val="l"/>
        <title>
          <tx>
            <rich>
              <a:bodyPr/>
              <a:p>
                <a:pPr>
                  <a:defRPr/>
                </a:pPr>
                <a:r>
                  <a:t>Product Line</a:t>
                </a:r>
              </a:p>
            </rich>
          </tx>
        </title>
        <majorTickMark val="none"/>
        <minorTickMark val="none"/>
        <crossAx val="100"/>
        <lblOffset val="100"/>
      </catAx>
      <valAx>
        <axId val="100"/>
        <scaling>
          <orientation val="minMax"/>
        </scaling>
        <axPos val="l"/>
        <majorGridlines/>
        <title>
          <tx>
            <rich>
              <a:bodyPr/>
              <a:p>
                <a:pPr>
                  <a:defRPr/>
                </a:pPr>
                <a:r>
                  <a:t>Revenue ($000)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13</row>
      <rowOff>0</rowOff>
    </from>
    <ext cx="540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90" customWidth="1" min="1" max="1"/>
  </cols>
  <sheetData>
    <row r="1" ht="24" customHeight="1">
      <c r="A1" s="1" t="inlineStr">
        <is>
          <t>Q4 2025 Revenue Report</t>
        </is>
      </c>
    </row>
    <row r="2">
      <c r="A2" t="inlineStr">
        <is>
          <t>Prepared by: Finance Team</t>
        </is>
      </c>
    </row>
    <row r="3">
      <c r="A3" t="inlineStr">
        <is>
          <t>Period: October 1 – December 31, 2025</t>
        </is>
      </c>
    </row>
    <row r="4">
      <c r="A4" t="inlineStr">
        <is>
          <t>Classification: Internal Use Only</t>
        </is>
      </c>
    </row>
    <row r="6">
      <c r="A6" s="2" t="inlineStr">
        <is>
          <t>Executive Summary</t>
        </is>
      </c>
    </row>
    <row r="7" ht="72" customHeight="1">
      <c r="A7" s="3" t="inlineStr">
        <is>
          <t>Q4 2025 revenue of $12.4M exceeded target by 8.3%. All three product lines grew year-over-year. The Widget line showed the strongest growth at +23% vs Q4 2024. Operating margin improved to 18.2% from 15.7% in Q3 2025, driven by manufacturing efficiency gains in the Riverside facility.</t>
        </is>
      </c>
    </row>
    <row r="9">
      <c r="A9" s="4" t="inlineStr">
        <is>
          <t>Key Metrics</t>
        </is>
      </c>
    </row>
    <row r="10">
      <c r="A10" s="5" t="inlineStr">
        <is>
          <t>Metric</t>
        </is>
      </c>
      <c r="B10" s="5" t="inlineStr">
        <is>
          <t>Q4 2025</t>
        </is>
      </c>
      <c r="C10" s="5" t="inlineStr">
        <is>
          <t>Q4 2024</t>
        </is>
      </c>
      <c r="D10" s="5" t="inlineStr">
        <is>
          <t>Change</t>
        </is>
      </c>
    </row>
    <row r="11">
      <c r="A11" t="inlineStr">
        <is>
          <t>Total Revenue ($M)</t>
        </is>
      </c>
      <c r="B11" t="inlineStr">
        <is>
          <t>12.4</t>
        </is>
      </c>
      <c r="C11" t="inlineStr">
        <is>
          <t>11.1</t>
        </is>
      </c>
      <c r="D11" t="inlineStr">
        <is>
          <t>+11.7%</t>
        </is>
      </c>
    </row>
    <row r="12">
      <c r="A12" t="inlineStr">
        <is>
          <t>Gross Margin</t>
        </is>
      </c>
      <c r="B12" t="inlineStr">
        <is>
          <t>38.5%</t>
        </is>
      </c>
      <c r="C12" t="inlineStr">
        <is>
          <t>36.2%</t>
        </is>
      </c>
      <c r="D12" t="inlineStr">
        <is>
          <t>+2.3pp</t>
        </is>
      </c>
    </row>
    <row r="13">
      <c r="A13" t="inlineStr">
        <is>
          <t>Operating Margin</t>
        </is>
      </c>
      <c r="B13" t="inlineStr">
        <is>
          <t>18.2%</t>
        </is>
      </c>
      <c r="C13" t="inlineStr">
        <is>
          <t>16.8%</t>
        </is>
      </c>
      <c r="D13" t="inlineStr">
        <is>
          <t>+1.4pp</t>
        </is>
      </c>
    </row>
    <row r="14">
      <c r="A14" t="inlineStr">
        <is>
          <t>Units Shipped</t>
        </is>
      </c>
      <c r="B14" t="inlineStr">
        <is>
          <t>48,210</t>
        </is>
      </c>
      <c r="C14" t="inlineStr">
        <is>
          <t>43,890</t>
        </is>
      </c>
      <c r="D14" t="inlineStr">
        <is>
          <t>+9.8%</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80" customWidth="1" min="1" max="1"/>
    <col width="14" customWidth="1" min="2" max="2"/>
    <col width="14" customWidth="1" min="3" max="3"/>
    <col width="14" customWidth="1" min="4" max="4"/>
    <col width="14" customWidth="1" min="5" max="5"/>
    <col width="14" customWidth="1" min="6" max="6"/>
    <col width="14" customWidth="1" min="7" max="7"/>
  </cols>
  <sheetData>
    <row r="1">
      <c r="A1" s="2" t="inlineStr">
        <is>
          <t>Revenue Analysis — Q4 2025</t>
        </is>
      </c>
    </row>
    <row r="3" ht="60" customHeight="1">
      <c r="A3" s="3" t="inlineStr">
        <is>
          <t>Revenue by product line is shown in Table 1. The Widget line benefited from the launch of the Widget Pro SKU in October 2025, which captured premium market share in the industrial automation segment. Gadget revenue was flat due to component supply constraints in November; these constraints were resolved in December.</t>
        </is>
      </c>
    </row>
    <row r="5">
      <c r="A5" s="4" t="inlineStr">
        <is>
          <t>Table 1: Revenue by Product Line ($000)</t>
        </is>
      </c>
    </row>
    <row r="6">
      <c r="A6" s="6" t="inlineStr">
        <is>
          <t>Product Line</t>
        </is>
      </c>
      <c r="B6" s="6" t="inlineStr">
        <is>
          <t>Oct 2025</t>
        </is>
      </c>
      <c r="C6" s="6" t="inlineStr">
        <is>
          <t>Nov 2025</t>
        </is>
      </c>
      <c r="D6" s="6" t="inlineStr">
        <is>
          <t>Dec 2025</t>
        </is>
      </c>
      <c r="E6" s="6" t="inlineStr">
        <is>
          <t>Q4 Total</t>
        </is>
      </c>
      <c r="F6" s="6" t="inlineStr">
        <is>
          <t>Q4 2024</t>
        </is>
      </c>
      <c r="G6" s="6" t="inlineStr">
        <is>
          <t>YoY%</t>
        </is>
      </c>
    </row>
    <row r="7">
      <c r="A7" t="inlineStr">
        <is>
          <t>Widget</t>
        </is>
      </c>
      <c r="B7" t="inlineStr">
        <is>
          <t>1,820</t>
        </is>
      </c>
      <c r="C7" t="inlineStr">
        <is>
          <t>2,140</t>
        </is>
      </c>
      <c r="D7" t="inlineStr">
        <is>
          <t>2,380</t>
        </is>
      </c>
      <c r="E7" t="inlineStr">
        <is>
          <t>6,340</t>
        </is>
      </c>
      <c r="F7" t="inlineStr">
        <is>
          <t>5,150</t>
        </is>
      </c>
      <c r="G7" t="inlineStr">
        <is>
          <t>+23.1%</t>
        </is>
      </c>
    </row>
    <row r="8">
      <c r="A8" t="inlineStr">
        <is>
          <t>Gadget</t>
        </is>
      </c>
      <c r="B8" t="inlineStr">
        <is>
          <t>1,240</t>
        </is>
      </c>
      <c r="C8" t="inlineStr">
        <is>
          <t>1,050</t>
        </is>
      </c>
      <c r="D8" t="inlineStr">
        <is>
          <t>1,310</t>
        </is>
      </c>
      <c r="E8" t="inlineStr">
        <is>
          <t>3,600</t>
        </is>
      </c>
      <c r="F8" t="inlineStr">
        <is>
          <t>3,580</t>
        </is>
      </c>
      <c r="G8" t="inlineStr">
        <is>
          <t>+0.6%</t>
        </is>
      </c>
    </row>
    <row r="9">
      <c r="A9" t="inlineStr">
        <is>
          <t>Service</t>
        </is>
      </c>
      <c r="B9" t="inlineStr">
        <is>
          <t>820</t>
        </is>
      </c>
      <c r="C9" t="inlineStr">
        <is>
          <t>840</t>
        </is>
      </c>
      <c r="D9" t="inlineStr">
        <is>
          <t>800</t>
        </is>
      </c>
      <c r="E9" t="inlineStr">
        <is>
          <t>2,460</t>
        </is>
      </c>
      <c r="F9" t="inlineStr">
        <is>
          <t>2,370</t>
        </is>
      </c>
      <c r="G9" t="inlineStr">
        <is>
          <t>+3.8%</t>
        </is>
      </c>
    </row>
    <row r="10">
      <c r="A10" s="4" t="inlineStr">
        <is>
          <t>Total</t>
        </is>
      </c>
      <c r="B10" s="4" t="inlineStr">
        <is>
          <t>3,880</t>
        </is>
      </c>
      <c r="C10" s="4" t="inlineStr">
        <is>
          <t>4,030</t>
        </is>
      </c>
      <c r="D10" s="4" t="inlineStr">
        <is>
          <t>4,490</t>
        </is>
      </c>
      <c r="E10" s="4" t="inlineStr">
        <is>
          <t>12,400</t>
        </is>
      </c>
      <c r="F10" s="4" t="inlineStr">
        <is>
          <t>11,100</t>
        </is>
      </c>
      <c r="G10" s="4" t="inlineStr">
        <is>
          <t>+11.7%</t>
        </is>
      </c>
    </row>
    <row r="12" ht="48" customHeight="1">
      <c r="A12" s="3" t="inlineStr">
        <is>
          <t>Note: Service revenue includes maintenance contracts and professional services. The Q4 2024 comparison figures have been restated to reflect the reclassification of professional services from the Widget line to the Service line.</t>
        </is>
      </c>
    </row>
    <row r="14">
      <c r="A14" s="7" t="inlineStr">
        <is>
          <t>Chart Data (numeric $000)</t>
        </is>
      </c>
    </row>
    <row r="15">
      <c r="A15" t="inlineStr">
        <is>
          <t>Product Line</t>
        </is>
      </c>
      <c r="B15" t="inlineStr">
        <is>
          <t>Q4 Total ($000)</t>
        </is>
      </c>
    </row>
    <row r="16">
      <c r="A16" t="inlineStr">
        <is>
          <t>Widget</t>
        </is>
      </c>
      <c r="B16" t="n">
        <v>6340</v>
      </c>
    </row>
    <row r="17">
      <c r="A17" t="inlineStr">
        <is>
          <t>Gadget</t>
        </is>
      </c>
      <c r="B17" t="n">
        <v>3600</v>
      </c>
    </row>
    <row r="18">
      <c r="A18" t="inlineStr">
        <is>
          <t>Service</t>
        </is>
      </c>
      <c r="B18" t="n">
        <v>2460</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90" customWidth="1" min="1" max="1"/>
  </cols>
  <sheetData>
    <row r="1">
      <c r="A1" s="2" t="inlineStr">
        <is>
          <t>Analyst Commentary — Q4 2025</t>
        </is>
      </c>
    </row>
    <row r="3">
      <c r="A3" s="4" t="inlineStr">
        <is>
          <t>Outlook</t>
        </is>
      </c>
    </row>
    <row r="4" ht="60" customHeight="1">
      <c r="A4" s="3" t="inlineStr">
        <is>
          <t>Management reaffirms full-year 2026 revenue guidance of $50–52M. The order book as of December 31, 2025 stands at $18.7M, up 15% year-over-year. Key growth drivers in 2026 include the North American Widget Pro expansion and the new service contract with Meridian Manufacturing.</t>
        </is>
      </c>
    </row>
    <row r="6">
      <c r="A6" s="4" t="inlineStr">
        <is>
          <t>Risks</t>
        </is>
      </c>
    </row>
    <row r="7" ht="40" customHeight="1">
      <c r="A7" s="3" t="inlineStr">
        <is>
          <t>1. Component supply: Lead times for PN-5001 remain extended at 18 weeks. Mitigation: safety stock increased to 120 days.</t>
        </is>
      </c>
    </row>
    <row r="8" ht="40" customHeight="1">
      <c r="A8" s="3" t="inlineStr">
        <is>
          <t>2. FX exposure: 35% of Widget revenue is EUR-denominated. A 10% EUR/USD movement impacts revenue by approximately $0.4M per quarter.</t>
        </is>
      </c>
    </row>
    <row r="9" ht="40" customHeight="1">
      <c r="A9" s="3" t="inlineStr">
        <is>
          <t>3. Competitive pricing: A new competitor entered the Widget market in Q3 2025. No material pricing impact observed in Q4; monitor in 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2026-01-01T00:00:00Z</dcterms:created>
  <dcterms:modified xsi:type="dcterms:W3CDTF">2026-01-01T00:00:00Z</dcterms:modified>
</cp:coreProperties>
</file>