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ort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Loan Amortization Model</t>
        </is>
      </c>
    </row>
    <row r="3">
      <c r="A3" s="2" t="inlineStr">
        <is>
          <t>Inputs</t>
        </is>
      </c>
    </row>
    <row r="4">
      <c r="A4" t="inlineStr">
        <is>
          <t>Principal ($)</t>
        </is>
      </c>
      <c r="B4" t="n">
        <v>500000</v>
      </c>
    </row>
    <row r="5">
      <c r="A5" t="inlineStr">
        <is>
          <t>Annual Rate (%)</t>
        </is>
      </c>
      <c r="B5" t="n">
        <v>6.5</v>
      </c>
    </row>
    <row r="6">
      <c r="A6" t="inlineStr">
        <is>
          <t>Term (months)</t>
        </is>
      </c>
      <c r="B6" t="n">
        <v>120</v>
      </c>
    </row>
    <row r="7">
      <c r="A7" t="inlineStr">
        <is>
          <t>Start Month</t>
        </is>
      </c>
      <c r="B7" t="n">
        <v>1</v>
      </c>
    </row>
    <row r="8">
      <c r="A8" t="inlineStr">
        <is>
          <t>Start Year</t>
        </is>
      </c>
      <c r="B8" t="n">
        <v>2025</v>
      </c>
    </row>
    <row r="9">
      <c r="A9" t="inlineStr">
        <is>
          <t>Monthly Rate</t>
        </is>
      </c>
      <c r="B9">
        <f>B5/100/12</f>
        <v/>
      </c>
    </row>
    <row r="10">
      <c r="A10" t="inlineStr">
        <is>
          <t>Monthly Payment ($)</t>
        </is>
      </c>
      <c r="B10">
        <f>B4*(B9*(1+B9)^B6)/((1+B9)^B6-1)</f>
        <v/>
      </c>
    </row>
    <row r="12">
      <c r="A12" s="3" t="inlineStr">
        <is>
          <t>Note: All payment values in rows 15+ are formula-derived from cells B4:B10.</t>
        </is>
      </c>
    </row>
    <row r="14">
      <c r="A14" s="4" t="inlineStr">
        <is>
          <t>Month</t>
        </is>
      </c>
      <c r="B14" s="4" t="inlineStr">
        <is>
          <t>Payment ($)</t>
        </is>
      </c>
      <c r="C14" s="4" t="inlineStr">
        <is>
          <t>Principal ($)</t>
        </is>
      </c>
      <c r="D14" s="4" t="inlineStr">
        <is>
          <t>Interest ($)</t>
        </is>
      </c>
      <c r="E14" s="4" t="inlineStr">
        <is>
          <t>Balance ($)</t>
        </is>
      </c>
    </row>
    <row r="15">
      <c r="A15" t="n">
        <v>1</v>
      </c>
      <c r="B15">
        <f>$B$10</f>
        <v/>
      </c>
      <c r="C15">
        <f>$B$10-D15</f>
        <v/>
      </c>
      <c r="D15">
        <f>$B$4*$B$9</f>
        <v/>
      </c>
      <c r="E15">
        <f>$B$4-C15</f>
        <v/>
      </c>
    </row>
    <row r="16">
      <c r="A16" t="n">
        <v>2</v>
      </c>
      <c r="B16">
        <f>$B$10</f>
        <v/>
      </c>
      <c r="C16">
        <f>$B$10-D16</f>
        <v/>
      </c>
      <c r="D16">
        <f>E15*$B$9</f>
        <v/>
      </c>
      <c r="E16">
        <f>E15-C16</f>
        <v/>
      </c>
    </row>
    <row r="17">
      <c r="A17" t="n">
        <v>3</v>
      </c>
      <c r="B17">
        <f>$B$10</f>
        <v/>
      </c>
      <c r="C17">
        <f>$B$10-D17</f>
        <v/>
      </c>
      <c r="D17">
        <f>E16*$B$9</f>
        <v/>
      </c>
      <c r="E17">
        <f>E16-C17</f>
        <v/>
      </c>
    </row>
    <row r="18">
      <c r="A18" t="n">
        <v>4</v>
      </c>
      <c r="B18">
        <f>$B$10</f>
        <v/>
      </c>
      <c r="C18">
        <f>$B$10-D18</f>
        <v/>
      </c>
      <c r="D18">
        <f>E17*$B$9</f>
        <v/>
      </c>
      <c r="E18">
        <f>E17-C18</f>
        <v/>
      </c>
    </row>
    <row r="19">
      <c r="A19" t="n">
        <v>5</v>
      </c>
      <c r="B19">
        <f>$B$10</f>
        <v/>
      </c>
      <c r="C19">
        <f>$B$10-D19</f>
        <v/>
      </c>
      <c r="D19">
        <f>E18*$B$9</f>
        <v/>
      </c>
      <c r="E19">
        <f>E18-C19</f>
        <v/>
      </c>
    </row>
    <row r="20">
      <c r="A20" t="n">
        <v>6</v>
      </c>
      <c r="B20">
        <f>$B$10</f>
        <v/>
      </c>
      <c r="C20">
        <f>$B$10-D20</f>
        <v/>
      </c>
      <c r="D20">
        <f>E19*$B$9</f>
        <v/>
      </c>
      <c r="E20">
        <f>E19-C20</f>
        <v/>
      </c>
    </row>
    <row r="21">
      <c r="A21" t="n">
        <v>7</v>
      </c>
      <c r="B21">
        <f>$B$10</f>
        <v/>
      </c>
      <c r="C21">
        <f>$B$10-D21</f>
        <v/>
      </c>
      <c r="D21">
        <f>E20*$B$9</f>
        <v/>
      </c>
      <c r="E21">
        <f>E20-C21</f>
        <v/>
      </c>
    </row>
    <row r="22">
      <c r="A22" t="n">
        <v>8</v>
      </c>
      <c r="B22">
        <f>$B$10</f>
        <v/>
      </c>
      <c r="C22">
        <f>$B$10-D22</f>
        <v/>
      </c>
      <c r="D22">
        <f>E21*$B$9</f>
        <v/>
      </c>
      <c r="E22">
        <f>E21-C22</f>
        <v/>
      </c>
    </row>
    <row r="23">
      <c r="A23" t="n">
        <v>9</v>
      </c>
      <c r="B23">
        <f>$B$10</f>
        <v/>
      </c>
      <c r="C23">
        <f>$B$10-D23</f>
        <v/>
      </c>
      <c r="D23">
        <f>E22*$B$9</f>
        <v/>
      </c>
      <c r="E23">
        <f>E22-C23</f>
        <v/>
      </c>
    </row>
    <row r="24">
      <c r="A24" t="n">
        <v>10</v>
      </c>
      <c r="B24">
        <f>$B$10</f>
        <v/>
      </c>
      <c r="C24">
        <f>$B$10-D24</f>
        <v/>
      </c>
      <c r="D24">
        <f>E23*$B$9</f>
        <v/>
      </c>
      <c r="E24">
        <f>E23-C24</f>
        <v/>
      </c>
    </row>
    <row r="25">
      <c r="A25" t="n">
        <v>11</v>
      </c>
      <c r="B25">
        <f>$B$10</f>
        <v/>
      </c>
      <c r="C25">
        <f>$B$10-D25</f>
        <v/>
      </c>
      <c r="D25">
        <f>E24*$B$9</f>
        <v/>
      </c>
      <c r="E25">
        <f>E24-C25</f>
        <v/>
      </c>
    </row>
    <row r="26">
      <c r="A26" t="n">
        <v>12</v>
      </c>
      <c r="B26">
        <f>$B$10</f>
        <v/>
      </c>
      <c r="C26">
        <f>$B$10-D26</f>
        <v/>
      </c>
      <c r="D26">
        <f>E25*$B$9</f>
        <v/>
      </c>
      <c r="E26">
        <f>E25-C26</f>
        <v/>
      </c>
    </row>
    <row r="27">
      <c r="A27" t="n">
        <v>13</v>
      </c>
      <c r="B27">
        <f>$B$10</f>
        <v/>
      </c>
      <c r="C27">
        <f>$B$10-D27</f>
        <v/>
      </c>
      <c r="D27">
        <f>E26*$B$9</f>
        <v/>
      </c>
      <c r="E27">
        <f>E26-C27</f>
        <v/>
      </c>
    </row>
    <row r="28">
      <c r="A28" t="n">
        <v>14</v>
      </c>
      <c r="B28">
        <f>$B$10</f>
        <v/>
      </c>
      <c r="C28">
        <f>$B$10-D28</f>
        <v/>
      </c>
      <c r="D28">
        <f>E27*$B$9</f>
        <v/>
      </c>
      <c r="E28">
        <f>E27-C28</f>
        <v/>
      </c>
    </row>
    <row r="29">
      <c r="A29" t="n">
        <v>15</v>
      </c>
      <c r="B29">
        <f>$B$10</f>
        <v/>
      </c>
      <c r="C29">
        <f>$B$10-D29</f>
        <v/>
      </c>
      <c r="D29">
        <f>E28*$B$9</f>
        <v/>
      </c>
      <c r="E29">
        <f>E28-C29</f>
        <v/>
      </c>
    </row>
    <row r="30">
      <c r="A30" t="n">
        <v>16</v>
      </c>
      <c r="B30">
        <f>$B$10</f>
        <v/>
      </c>
      <c r="C30">
        <f>$B$10-D30</f>
        <v/>
      </c>
      <c r="D30">
        <f>E29*$B$9</f>
        <v/>
      </c>
      <c r="E30">
        <f>E29-C30</f>
        <v/>
      </c>
    </row>
    <row r="31">
      <c r="A31" t="n">
        <v>17</v>
      </c>
      <c r="B31">
        <f>$B$10</f>
        <v/>
      </c>
      <c r="C31">
        <f>$B$10-D31</f>
        <v/>
      </c>
      <c r="D31">
        <f>E30*$B$9</f>
        <v/>
      </c>
      <c r="E31">
        <f>E30-C31</f>
        <v/>
      </c>
    </row>
    <row r="32">
      <c r="A32" t="n">
        <v>18</v>
      </c>
      <c r="B32">
        <f>$B$10</f>
        <v/>
      </c>
      <c r="C32">
        <f>$B$10-D32</f>
        <v/>
      </c>
      <c r="D32">
        <f>E31*$B$9</f>
        <v/>
      </c>
      <c r="E32">
        <f>E31-C32</f>
        <v/>
      </c>
    </row>
    <row r="33">
      <c r="A33" t="n">
        <v>19</v>
      </c>
      <c r="B33">
        <f>$B$10</f>
        <v/>
      </c>
      <c r="C33">
        <f>$B$10-D33</f>
        <v/>
      </c>
      <c r="D33">
        <f>E32*$B$9</f>
        <v/>
      </c>
      <c r="E33">
        <f>E32-C33</f>
        <v/>
      </c>
    </row>
    <row r="34">
      <c r="A34" t="n">
        <v>20</v>
      </c>
      <c r="B34">
        <f>$B$10</f>
        <v/>
      </c>
      <c r="C34">
        <f>$B$10-D34</f>
        <v/>
      </c>
      <c r="D34">
        <f>E33*$B$9</f>
        <v/>
      </c>
      <c r="E34">
        <f>E33-C34</f>
        <v/>
      </c>
    </row>
    <row r="35">
      <c r="A35" t="n">
        <v>21</v>
      </c>
      <c r="B35">
        <f>$B$10</f>
        <v/>
      </c>
      <c r="C35">
        <f>$B$10-D35</f>
        <v/>
      </c>
      <c r="D35">
        <f>E34*$B$9</f>
        <v/>
      </c>
      <c r="E35">
        <f>E34-C35</f>
        <v/>
      </c>
    </row>
    <row r="36">
      <c r="A36" t="n">
        <v>22</v>
      </c>
      <c r="B36">
        <f>$B$10</f>
        <v/>
      </c>
      <c r="C36">
        <f>$B$10-D36</f>
        <v/>
      </c>
      <c r="D36">
        <f>E35*$B$9</f>
        <v/>
      </c>
      <c r="E36">
        <f>E35-C36</f>
        <v/>
      </c>
    </row>
    <row r="37">
      <c r="A37" t="n">
        <v>23</v>
      </c>
      <c r="B37">
        <f>$B$10</f>
        <v/>
      </c>
      <c r="C37">
        <f>$B$10-D37</f>
        <v/>
      </c>
      <c r="D37">
        <f>E36*$B$9</f>
        <v/>
      </c>
      <c r="E37">
        <f>E36-C37</f>
        <v/>
      </c>
    </row>
    <row r="38">
      <c r="A38" t="n">
        <v>24</v>
      </c>
      <c r="B38">
        <f>$B$10</f>
        <v/>
      </c>
      <c r="C38">
        <f>$B$10-D38</f>
        <v/>
      </c>
      <c r="D38">
        <f>E37*$B$9</f>
        <v/>
      </c>
      <c r="E38">
        <f>E37-C38</f>
        <v/>
      </c>
    </row>
    <row r="39">
      <c r="A39" t="n">
        <v>25</v>
      </c>
      <c r="B39">
        <f>$B$10</f>
        <v/>
      </c>
      <c r="C39">
        <f>$B$10-D39</f>
        <v/>
      </c>
      <c r="D39">
        <f>E38*$B$9</f>
        <v/>
      </c>
      <c r="E39">
        <f>E38-C39</f>
        <v/>
      </c>
    </row>
    <row r="40">
      <c r="A40" t="n">
        <v>26</v>
      </c>
      <c r="B40">
        <f>$B$10</f>
        <v/>
      </c>
      <c r="C40">
        <f>$B$10-D40</f>
        <v/>
      </c>
      <c r="D40">
        <f>E39*$B$9</f>
        <v/>
      </c>
      <c r="E40">
        <f>E39-C40</f>
        <v/>
      </c>
    </row>
    <row r="41">
      <c r="A41" t="n">
        <v>27</v>
      </c>
      <c r="B41">
        <f>$B$10</f>
        <v/>
      </c>
      <c r="C41">
        <f>$B$10-D41</f>
        <v/>
      </c>
      <c r="D41">
        <f>E40*$B$9</f>
        <v/>
      </c>
      <c r="E41">
        <f>E40-C41</f>
        <v/>
      </c>
    </row>
    <row r="42">
      <c r="A42" t="n">
        <v>28</v>
      </c>
      <c r="B42">
        <f>$B$10</f>
        <v/>
      </c>
      <c r="C42">
        <f>$B$10-D42</f>
        <v/>
      </c>
      <c r="D42">
        <f>E41*$B$9</f>
        <v/>
      </c>
      <c r="E42">
        <f>E41-C42</f>
        <v/>
      </c>
    </row>
    <row r="43">
      <c r="A43" t="n">
        <v>29</v>
      </c>
      <c r="B43">
        <f>$B$10</f>
        <v/>
      </c>
      <c r="C43">
        <f>$B$10-D43</f>
        <v/>
      </c>
      <c r="D43">
        <f>E42*$B$9</f>
        <v/>
      </c>
      <c r="E43">
        <f>E42-C43</f>
        <v/>
      </c>
    </row>
    <row r="44">
      <c r="A44" t="n">
        <v>30</v>
      </c>
      <c r="B44">
        <f>$B$10</f>
        <v/>
      </c>
      <c r="C44">
        <f>$B$10-D44</f>
        <v/>
      </c>
      <c r="D44">
        <f>E43*$B$9</f>
        <v/>
      </c>
      <c r="E44">
        <f>E43-C44</f>
        <v/>
      </c>
    </row>
    <row r="45">
      <c r="A45" t="n">
        <v>31</v>
      </c>
      <c r="B45">
        <f>$B$10</f>
        <v/>
      </c>
      <c r="C45">
        <f>$B$10-D45</f>
        <v/>
      </c>
      <c r="D45">
        <f>E44*$B$9</f>
        <v/>
      </c>
      <c r="E45">
        <f>E44-C45</f>
        <v/>
      </c>
    </row>
    <row r="46">
      <c r="A46" t="n">
        <v>32</v>
      </c>
      <c r="B46">
        <f>$B$10</f>
        <v/>
      </c>
      <c r="C46">
        <f>$B$10-D46</f>
        <v/>
      </c>
      <c r="D46">
        <f>E45*$B$9</f>
        <v/>
      </c>
      <c r="E46">
        <f>E45-C46</f>
        <v/>
      </c>
    </row>
    <row r="47">
      <c r="A47" t="n">
        <v>33</v>
      </c>
      <c r="B47">
        <f>$B$10</f>
        <v/>
      </c>
      <c r="C47">
        <f>$B$10-D47</f>
        <v/>
      </c>
      <c r="D47">
        <f>E46*$B$9</f>
        <v/>
      </c>
      <c r="E47">
        <f>E46-C47</f>
        <v/>
      </c>
    </row>
    <row r="48">
      <c r="A48" t="n">
        <v>34</v>
      </c>
      <c r="B48">
        <f>$B$10</f>
        <v/>
      </c>
      <c r="C48">
        <f>$B$10-D48</f>
        <v/>
      </c>
      <c r="D48">
        <f>E47*$B$9</f>
        <v/>
      </c>
      <c r="E48">
        <f>E47-C48</f>
        <v/>
      </c>
    </row>
    <row r="49">
      <c r="A49" t="n">
        <v>35</v>
      </c>
      <c r="B49">
        <f>$B$10</f>
        <v/>
      </c>
      <c r="C49">
        <f>$B$10-D49</f>
        <v/>
      </c>
      <c r="D49">
        <f>E48*$B$9</f>
        <v/>
      </c>
      <c r="E49">
        <f>E48-C49</f>
        <v/>
      </c>
    </row>
    <row r="50">
      <c r="A50" t="n">
        <v>36</v>
      </c>
      <c r="B50">
        <f>$B$10</f>
        <v/>
      </c>
      <c r="C50">
        <f>$B$10-D50</f>
        <v/>
      </c>
      <c r="D50">
        <f>E49*$B$9</f>
        <v/>
      </c>
      <c r="E50">
        <f>E49-C50</f>
        <v/>
      </c>
    </row>
    <row r="51">
      <c r="A51" t="n">
        <v>37</v>
      </c>
      <c r="B51">
        <f>$B$10</f>
        <v/>
      </c>
      <c r="C51">
        <f>$B$10-D51</f>
        <v/>
      </c>
      <c r="D51">
        <f>E50*$B$9</f>
        <v/>
      </c>
      <c r="E51">
        <f>E50-C51</f>
        <v/>
      </c>
    </row>
    <row r="52">
      <c r="A52" t="n">
        <v>38</v>
      </c>
      <c r="B52">
        <f>$B$10</f>
        <v/>
      </c>
      <c r="C52">
        <f>$B$10-D52</f>
        <v/>
      </c>
      <c r="D52">
        <f>E51*$B$9</f>
        <v/>
      </c>
      <c r="E52">
        <f>E51-C52</f>
        <v/>
      </c>
    </row>
    <row r="53">
      <c r="A53" t="n">
        <v>39</v>
      </c>
      <c r="B53">
        <f>$B$10</f>
        <v/>
      </c>
      <c r="C53">
        <f>$B$10-D53</f>
        <v/>
      </c>
      <c r="D53">
        <f>E52*$B$9</f>
        <v/>
      </c>
      <c r="E53">
        <f>E52-C53</f>
        <v/>
      </c>
    </row>
    <row r="54">
      <c r="A54" t="n">
        <v>40</v>
      </c>
      <c r="B54">
        <f>$B$10</f>
        <v/>
      </c>
      <c r="C54">
        <f>$B$10-D54</f>
        <v/>
      </c>
      <c r="D54">
        <f>E53*$B$9</f>
        <v/>
      </c>
      <c r="E54">
        <f>E53-C54</f>
        <v/>
      </c>
    </row>
    <row r="55">
      <c r="A55" t="n">
        <v>41</v>
      </c>
      <c r="B55">
        <f>$B$10</f>
        <v/>
      </c>
      <c r="C55">
        <f>$B$10-D55</f>
        <v/>
      </c>
      <c r="D55">
        <f>E54*$B$9</f>
        <v/>
      </c>
      <c r="E55">
        <f>E54-C55</f>
        <v/>
      </c>
    </row>
    <row r="56">
      <c r="A56" t="n">
        <v>42</v>
      </c>
      <c r="B56">
        <f>$B$10</f>
        <v/>
      </c>
      <c r="C56">
        <f>$B$10-D56</f>
        <v/>
      </c>
      <c r="D56">
        <f>E55*$B$9</f>
        <v/>
      </c>
      <c r="E56">
        <f>E55-C56</f>
        <v/>
      </c>
    </row>
    <row r="57">
      <c r="A57" t="n">
        <v>43</v>
      </c>
      <c r="B57">
        <f>$B$10</f>
        <v/>
      </c>
      <c r="C57">
        <f>$B$10-D57</f>
        <v/>
      </c>
      <c r="D57">
        <f>E56*$B$9</f>
        <v/>
      </c>
      <c r="E57">
        <f>E56-C57</f>
        <v/>
      </c>
    </row>
    <row r="58">
      <c r="A58" t="n">
        <v>44</v>
      </c>
      <c r="B58">
        <f>$B$10</f>
        <v/>
      </c>
      <c r="C58">
        <f>$B$10-D58</f>
        <v/>
      </c>
      <c r="D58">
        <f>E57*$B$9</f>
        <v/>
      </c>
      <c r="E58">
        <f>E57-C58</f>
        <v/>
      </c>
    </row>
    <row r="59">
      <c r="A59" t="n">
        <v>45</v>
      </c>
      <c r="B59">
        <f>$B$10</f>
        <v/>
      </c>
      <c r="C59">
        <f>$B$10-D59</f>
        <v/>
      </c>
      <c r="D59">
        <f>E58*$B$9</f>
        <v/>
      </c>
      <c r="E59">
        <f>E58-C59</f>
        <v/>
      </c>
    </row>
    <row r="60">
      <c r="A60" t="n">
        <v>46</v>
      </c>
      <c r="B60">
        <f>$B$10</f>
        <v/>
      </c>
      <c r="C60">
        <f>$B$10-D60</f>
        <v/>
      </c>
      <c r="D60">
        <f>E59*$B$9</f>
        <v/>
      </c>
      <c r="E60">
        <f>E59-C60</f>
        <v/>
      </c>
    </row>
    <row r="61">
      <c r="A61" t="n">
        <v>47</v>
      </c>
      <c r="B61">
        <f>$B$10</f>
        <v/>
      </c>
      <c r="C61">
        <f>$B$10-D61</f>
        <v/>
      </c>
      <c r="D61">
        <f>E60*$B$9</f>
        <v/>
      </c>
      <c r="E61">
        <f>E60-C61</f>
        <v/>
      </c>
    </row>
    <row r="62">
      <c r="A62" t="n">
        <v>48</v>
      </c>
      <c r="B62">
        <f>$B$10</f>
        <v/>
      </c>
      <c r="C62">
        <f>$B$10-D62</f>
        <v/>
      </c>
      <c r="D62">
        <f>E61*$B$9</f>
        <v/>
      </c>
      <c r="E62">
        <f>E61-C62</f>
        <v/>
      </c>
    </row>
    <row r="63">
      <c r="A63" t="n">
        <v>49</v>
      </c>
      <c r="B63">
        <f>$B$10</f>
        <v/>
      </c>
      <c r="C63">
        <f>$B$10-D63</f>
        <v/>
      </c>
      <c r="D63">
        <f>E62*$B$9</f>
        <v/>
      </c>
      <c r="E63">
        <f>E62-C63</f>
        <v/>
      </c>
    </row>
    <row r="64">
      <c r="A64" t="n">
        <v>50</v>
      </c>
      <c r="B64">
        <f>$B$10</f>
        <v/>
      </c>
      <c r="C64">
        <f>$B$10-D64</f>
        <v/>
      </c>
      <c r="D64">
        <f>E63*$B$9</f>
        <v/>
      </c>
      <c r="E64">
        <f>E63-C64</f>
        <v/>
      </c>
    </row>
    <row r="65">
      <c r="A65" t="n">
        <v>51</v>
      </c>
      <c r="B65">
        <f>$B$10</f>
        <v/>
      </c>
      <c r="C65">
        <f>$B$10-D65</f>
        <v/>
      </c>
      <c r="D65">
        <f>E64*$B$9</f>
        <v/>
      </c>
      <c r="E65">
        <f>E64-C65</f>
        <v/>
      </c>
    </row>
    <row r="66">
      <c r="A66" t="n">
        <v>52</v>
      </c>
      <c r="B66">
        <f>$B$10</f>
        <v/>
      </c>
      <c r="C66">
        <f>$B$10-D66</f>
        <v/>
      </c>
      <c r="D66">
        <f>E65*$B$9</f>
        <v/>
      </c>
      <c r="E66">
        <f>E65-C66</f>
        <v/>
      </c>
    </row>
    <row r="67">
      <c r="A67" t="n">
        <v>53</v>
      </c>
      <c r="B67">
        <f>$B$10</f>
        <v/>
      </c>
      <c r="C67">
        <f>$B$10-D67</f>
        <v/>
      </c>
      <c r="D67">
        <f>E66*$B$9</f>
        <v/>
      </c>
      <c r="E67">
        <f>E66-C67</f>
        <v/>
      </c>
    </row>
    <row r="68">
      <c r="A68" t="n">
        <v>54</v>
      </c>
      <c r="B68">
        <f>$B$10</f>
        <v/>
      </c>
      <c r="C68">
        <f>$B$10-D68</f>
        <v/>
      </c>
      <c r="D68">
        <f>E67*$B$9</f>
        <v/>
      </c>
      <c r="E68">
        <f>E67-C68</f>
        <v/>
      </c>
    </row>
    <row r="69">
      <c r="A69" t="n">
        <v>55</v>
      </c>
      <c r="B69">
        <f>$B$10</f>
        <v/>
      </c>
      <c r="C69">
        <f>$B$10-D69</f>
        <v/>
      </c>
      <c r="D69">
        <f>E68*$B$9</f>
        <v/>
      </c>
      <c r="E69">
        <f>E68-C69</f>
        <v/>
      </c>
    </row>
    <row r="70">
      <c r="A70" t="n">
        <v>56</v>
      </c>
      <c r="B70">
        <f>$B$10</f>
        <v/>
      </c>
      <c r="C70">
        <f>$B$10-D70</f>
        <v/>
      </c>
      <c r="D70">
        <f>E69*$B$9</f>
        <v/>
      </c>
      <c r="E70">
        <f>E69-C70</f>
        <v/>
      </c>
    </row>
    <row r="71">
      <c r="A71" t="n">
        <v>57</v>
      </c>
      <c r="B71">
        <f>$B$10</f>
        <v/>
      </c>
      <c r="C71">
        <f>$B$10-D71</f>
        <v/>
      </c>
      <c r="D71">
        <f>E70*$B$9</f>
        <v/>
      </c>
      <c r="E71">
        <f>E70-C71</f>
        <v/>
      </c>
    </row>
    <row r="72">
      <c r="A72" t="n">
        <v>58</v>
      </c>
      <c r="B72">
        <f>$B$10</f>
        <v/>
      </c>
      <c r="C72">
        <f>$B$10-D72</f>
        <v/>
      </c>
      <c r="D72">
        <f>E71*$B$9</f>
        <v/>
      </c>
      <c r="E72">
        <f>E71-C72</f>
        <v/>
      </c>
    </row>
    <row r="73">
      <c r="A73" t="n">
        <v>59</v>
      </c>
      <c r="B73">
        <f>$B$10</f>
        <v/>
      </c>
      <c r="C73">
        <f>$B$10-D73</f>
        <v/>
      </c>
      <c r="D73">
        <f>E72*$B$9</f>
        <v/>
      </c>
      <c r="E73">
        <f>E72-C73</f>
        <v/>
      </c>
    </row>
    <row r="74">
      <c r="A74" t="n">
        <v>60</v>
      </c>
      <c r="B74">
        <f>$B$10</f>
        <v/>
      </c>
      <c r="C74">
        <f>$B$10-D74</f>
        <v/>
      </c>
      <c r="D74">
        <f>E73*$B$9</f>
        <v/>
      </c>
      <c r="E74">
        <f>E73-C74</f>
        <v/>
      </c>
    </row>
    <row r="75">
      <c r="A75" t="n">
        <v>61</v>
      </c>
      <c r="B75">
        <f>$B$10</f>
        <v/>
      </c>
      <c r="C75">
        <f>$B$10-D75</f>
        <v/>
      </c>
      <c r="D75">
        <f>E74*$B$9</f>
        <v/>
      </c>
      <c r="E75">
        <f>E74-C75</f>
        <v/>
      </c>
    </row>
    <row r="76">
      <c r="A76" t="n">
        <v>62</v>
      </c>
      <c r="B76">
        <f>$B$10</f>
        <v/>
      </c>
      <c r="C76">
        <f>$B$10-D76</f>
        <v/>
      </c>
      <c r="D76">
        <f>E75*$B$9</f>
        <v/>
      </c>
      <c r="E76">
        <f>E75-C76</f>
        <v/>
      </c>
    </row>
    <row r="77">
      <c r="A77" t="n">
        <v>63</v>
      </c>
      <c r="B77">
        <f>$B$10</f>
        <v/>
      </c>
      <c r="C77">
        <f>$B$10-D77</f>
        <v/>
      </c>
      <c r="D77">
        <f>E76*$B$9</f>
        <v/>
      </c>
      <c r="E77">
        <f>E76-C77</f>
        <v/>
      </c>
    </row>
    <row r="78">
      <c r="A78" t="n">
        <v>64</v>
      </c>
      <c r="B78">
        <f>$B$10</f>
        <v/>
      </c>
      <c r="C78">
        <f>$B$10-D78</f>
        <v/>
      </c>
      <c r="D78">
        <f>E77*$B$9</f>
        <v/>
      </c>
      <c r="E78">
        <f>E77-C78</f>
        <v/>
      </c>
    </row>
    <row r="79">
      <c r="A79" t="n">
        <v>65</v>
      </c>
      <c r="B79">
        <f>$B$10</f>
        <v/>
      </c>
      <c r="C79">
        <f>$B$10-D79</f>
        <v/>
      </c>
      <c r="D79">
        <f>E78*$B$9</f>
        <v/>
      </c>
      <c r="E79">
        <f>E78-C79</f>
        <v/>
      </c>
    </row>
    <row r="80">
      <c r="A80" t="n">
        <v>66</v>
      </c>
      <c r="B80">
        <f>$B$10</f>
        <v/>
      </c>
      <c r="C80">
        <f>$B$10-D80</f>
        <v/>
      </c>
      <c r="D80">
        <f>E79*$B$9</f>
        <v/>
      </c>
      <c r="E80">
        <f>E79-C80</f>
        <v/>
      </c>
    </row>
    <row r="81">
      <c r="A81" t="n">
        <v>67</v>
      </c>
      <c r="B81">
        <f>$B$10</f>
        <v/>
      </c>
      <c r="C81">
        <f>$B$10-D81</f>
        <v/>
      </c>
      <c r="D81">
        <f>E80*$B$9</f>
        <v/>
      </c>
      <c r="E81">
        <f>E80-C81</f>
        <v/>
      </c>
    </row>
    <row r="82">
      <c r="A82" t="n">
        <v>68</v>
      </c>
      <c r="B82">
        <f>$B$10</f>
        <v/>
      </c>
      <c r="C82">
        <f>$B$10-D82</f>
        <v/>
      </c>
      <c r="D82">
        <f>E81*$B$9</f>
        <v/>
      </c>
      <c r="E82">
        <f>E81-C82</f>
        <v/>
      </c>
    </row>
    <row r="83">
      <c r="A83" t="n">
        <v>69</v>
      </c>
      <c r="B83">
        <f>$B$10</f>
        <v/>
      </c>
      <c r="C83">
        <f>$B$10-D83</f>
        <v/>
      </c>
      <c r="D83">
        <f>E82*$B$9</f>
        <v/>
      </c>
      <c r="E83">
        <f>E82-C83</f>
        <v/>
      </c>
    </row>
    <row r="84">
      <c r="A84" t="n">
        <v>70</v>
      </c>
      <c r="B84">
        <f>$B$10</f>
        <v/>
      </c>
      <c r="C84">
        <f>$B$10-D84</f>
        <v/>
      </c>
      <c r="D84">
        <f>E83*$B$9</f>
        <v/>
      </c>
      <c r="E84">
        <f>E83-C84</f>
        <v/>
      </c>
    </row>
    <row r="85">
      <c r="A85" t="n">
        <v>71</v>
      </c>
      <c r="B85">
        <f>$B$10</f>
        <v/>
      </c>
      <c r="C85">
        <f>$B$10-D85</f>
        <v/>
      </c>
      <c r="D85">
        <f>E84*$B$9</f>
        <v/>
      </c>
      <c r="E85">
        <f>E84-C85</f>
        <v/>
      </c>
    </row>
    <row r="86">
      <c r="A86" t="n">
        <v>72</v>
      </c>
      <c r="B86">
        <f>$B$10</f>
        <v/>
      </c>
      <c r="C86">
        <f>$B$10-D86</f>
        <v/>
      </c>
      <c r="D86">
        <f>E85*$B$9</f>
        <v/>
      </c>
      <c r="E86">
        <f>E85-C86</f>
        <v/>
      </c>
    </row>
    <row r="87">
      <c r="A87" t="n">
        <v>73</v>
      </c>
      <c r="B87">
        <f>$B$10</f>
        <v/>
      </c>
      <c r="C87">
        <f>$B$10-D87</f>
        <v/>
      </c>
      <c r="D87">
        <f>E86*$B$9</f>
        <v/>
      </c>
      <c r="E87">
        <f>E86-C87</f>
        <v/>
      </c>
    </row>
    <row r="88">
      <c r="A88" t="n">
        <v>74</v>
      </c>
      <c r="B88">
        <f>$B$10</f>
        <v/>
      </c>
      <c r="C88">
        <f>$B$10-D88</f>
        <v/>
      </c>
      <c r="D88">
        <f>E87*$B$9</f>
        <v/>
      </c>
      <c r="E88">
        <f>E87-C88</f>
        <v/>
      </c>
    </row>
    <row r="89">
      <c r="A89" t="n">
        <v>75</v>
      </c>
      <c r="B89">
        <f>$B$10</f>
        <v/>
      </c>
      <c r="C89">
        <f>$B$10-D89</f>
        <v/>
      </c>
      <c r="D89">
        <f>E88*$B$9</f>
        <v/>
      </c>
      <c r="E89">
        <f>E88-C89</f>
        <v/>
      </c>
    </row>
    <row r="90">
      <c r="A90" t="n">
        <v>76</v>
      </c>
      <c r="B90">
        <f>$B$10</f>
        <v/>
      </c>
      <c r="C90">
        <f>$B$10-D90</f>
        <v/>
      </c>
      <c r="D90">
        <f>E89*$B$9</f>
        <v/>
      </c>
      <c r="E90">
        <f>E89-C90</f>
        <v/>
      </c>
    </row>
    <row r="91">
      <c r="A91" t="n">
        <v>77</v>
      </c>
      <c r="B91">
        <f>$B$10</f>
        <v/>
      </c>
      <c r="C91">
        <f>$B$10-D91</f>
        <v/>
      </c>
      <c r="D91">
        <f>E90*$B$9</f>
        <v/>
      </c>
      <c r="E91">
        <f>E90-C91</f>
        <v/>
      </c>
    </row>
    <row r="92">
      <c r="A92" t="n">
        <v>78</v>
      </c>
      <c r="B92">
        <f>$B$10</f>
        <v/>
      </c>
      <c r="C92">
        <f>$B$10-D92</f>
        <v/>
      </c>
      <c r="D92">
        <f>E91*$B$9</f>
        <v/>
      </c>
      <c r="E92">
        <f>E91-C92</f>
        <v/>
      </c>
    </row>
    <row r="93">
      <c r="A93" t="n">
        <v>79</v>
      </c>
      <c r="B93">
        <f>$B$10</f>
        <v/>
      </c>
      <c r="C93">
        <f>$B$10-D93</f>
        <v/>
      </c>
      <c r="D93">
        <f>E92*$B$9</f>
        <v/>
      </c>
      <c r="E93">
        <f>E92-C93</f>
        <v/>
      </c>
    </row>
    <row r="94">
      <c r="A94" t="n">
        <v>80</v>
      </c>
      <c r="B94">
        <f>$B$10</f>
        <v/>
      </c>
      <c r="C94">
        <f>$B$10-D94</f>
        <v/>
      </c>
      <c r="D94">
        <f>E93*$B$9</f>
        <v/>
      </c>
      <c r="E94">
        <f>E93-C94</f>
        <v/>
      </c>
    </row>
    <row r="95">
      <c r="A95" t="n">
        <v>81</v>
      </c>
      <c r="B95">
        <f>$B$10</f>
        <v/>
      </c>
      <c r="C95">
        <f>$B$10-D95</f>
        <v/>
      </c>
      <c r="D95">
        <f>E94*$B$9</f>
        <v/>
      </c>
      <c r="E95">
        <f>E94-C95</f>
        <v/>
      </c>
    </row>
    <row r="96">
      <c r="A96" t="n">
        <v>82</v>
      </c>
      <c r="B96">
        <f>$B$10</f>
        <v/>
      </c>
      <c r="C96">
        <f>$B$10-D96</f>
        <v/>
      </c>
      <c r="D96">
        <f>E95*$B$9</f>
        <v/>
      </c>
      <c r="E96">
        <f>E95-C96</f>
        <v/>
      </c>
    </row>
    <row r="97">
      <c r="A97" t="n">
        <v>83</v>
      </c>
      <c r="B97">
        <f>$B$10</f>
        <v/>
      </c>
      <c r="C97">
        <f>$B$10-D97</f>
        <v/>
      </c>
      <c r="D97">
        <f>E96*$B$9</f>
        <v/>
      </c>
      <c r="E97">
        <f>E96-C97</f>
        <v/>
      </c>
    </row>
    <row r="98">
      <c r="A98" t="n">
        <v>84</v>
      </c>
      <c r="B98">
        <f>$B$10</f>
        <v/>
      </c>
      <c r="C98">
        <f>$B$10-D98</f>
        <v/>
      </c>
      <c r="D98">
        <f>E97*$B$9</f>
        <v/>
      </c>
      <c r="E98">
        <f>E97-C98</f>
        <v/>
      </c>
    </row>
    <row r="99">
      <c r="A99" t="n">
        <v>85</v>
      </c>
      <c r="B99">
        <f>$B$10</f>
        <v/>
      </c>
      <c r="C99">
        <f>$B$10-D99</f>
        <v/>
      </c>
      <c r="D99">
        <f>E98*$B$9</f>
        <v/>
      </c>
      <c r="E99">
        <f>E98-C99</f>
        <v/>
      </c>
    </row>
    <row r="100">
      <c r="A100" t="n">
        <v>86</v>
      </c>
      <c r="B100">
        <f>$B$10</f>
        <v/>
      </c>
      <c r="C100">
        <f>$B$10-D100</f>
        <v/>
      </c>
      <c r="D100">
        <f>E99*$B$9</f>
        <v/>
      </c>
      <c r="E100">
        <f>E99-C100</f>
        <v/>
      </c>
    </row>
    <row r="101">
      <c r="A101" t="n">
        <v>87</v>
      </c>
      <c r="B101">
        <f>$B$10</f>
        <v/>
      </c>
      <c r="C101">
        <f>$B$10-D101</f>
        <v/>
      </c>
      <c r="D101">
        <f>E100*$B$9</f>
        <v/>
      </c>
      <c r="E101">
        <f>E100-C101</f>
        <v/>
      </c>
    </row>
    <row r="102">
      <c r="A102" t="n">
        <v>88</v>
      </c>
      <c r="B102">
        <f>$B$10</f>
        <v/>
      </c>
      <c r="C102">
        <f>$B$10-D102</f>
        <v/>
      </c>
      <c r="D102">
        <f>E101*$B$9</f>
        <v/>
      </c>
      <c r="E102">
        <f>E101-C102</f>
        <v/>
      </c>
    </row>
    <row r="103">
      <c r="A103" t="n">
        <v>89</v>
      </c>
      <c r="B103">
        <f>$B$10</f>
        <v/>
      </c>
      <c r="C103">
        <f>$B$10-D103</f>
        <v/>
      </c>
      <c r="D103">
        <f>E102*$B$9</f>
        <v/>
      </c>
      <c r="E103">
        <f>E102-C103</f>
        <v/>
      </c>
    </row>
    <row r="104">
      <c r="A104" t="n">
        <v>90</v>
      </c>
      <c r="B104">
        <f>$B$10</f>
        <v/>
      </c>
      <c r="C104">
        <f>$B$10-D104</f>
        <v/>
      </c>
      <c r="D104">
        <f>E103*$B$9</f>
        <v/>
      </c>
      <c r="E104">
        <f>E103-C104</f>
        <v/>
      </c>
    </row>
    <row r="105">
      <c r="A105" t="n">
        <v>91</v>
      </c>
      <c r="B105">
        <f>$B$10</f>
        <v/>
      </c>
      <c r="C105">
        <f>$B$10-D105</f>
        <v/>
      </c>
      <c r="D105">
        <f>E104*$B$9</f>
        <v/>
      </c>
      <c r="E105">
        <f>E104-C105</f>
        <v/>
      </c>
    </row>
    <row r="106">
      <c r="A106" t="n">
        <v>92</v>
      </c>
      <c r="B106">
        <f>$B$10</f>
        <v/>
      </c>
      <c r="C106">
        <f>$B$10-D106</f>
        <v/>
      </c>
      <c r="D106">
        <f>E105*$B$9</f>
        <v/>
      </c>
      <c r="E106">
        <f>E105-C106</f>
        <v/>
      </c>
    </row>
    <row r="107">
      <c r="A107" t="n">
        <v>93</v>
      </c>
      <c r="B107">
        <f>$B$10</f>
        <v/>
      </c>
      <c r="C107">
        <f>$B$10-D107</f>
        <v/>
      </c>
      <c r="D107">
        <f>E106*$B$9</f>
        <v/>
      </c>
      <c r="E107">
        <f>E106-C107</f>
        <v/>
      </c>
    </row>
    <row r="108">
      <c r="A108" t="n">
        <v>94</v>
      </c>
      <c r="B108">
        <f>$B$10</f>
        <v/>
      </c>
      <c r="C108">
        <f>$B$10-D108</f>
        <v/>
      </c>
      <c r="D108">
        <f>E107*$B$9</f>
        <v/>
      </c>
      <c r="E108">
        <f>E107-C108</f>
        <v/>
      </c>
    </row>
    <row r="109">
      <c r="A109" t="n">
        <v>95</v>
      </c>
      <c r="B109">
        <f>$B$10</f>
        <v/>
      </c>
      <c r="C109">
        <f>$B$10-D109</f>
        <v/>
      </c>
      <c r="D109">
        <f>E108*$B$9</f>
        <v/>
      </c>
      <c r="E109">
        <f>E108-C109</f>
        <v/>
      </c>
    </row>
    <row r="110">
      <c r="A110" t="n">
        <v>96</v>
      </c>
      <c r="B110">
        <f>$B$10</f>
        <v/>
      </c>
      <c r="C110">
        <f>$B$10-D110</f>
        <v/>
      </c>
      <c r="D110">
        <f>E109*$B$9</f>
        <v/>
      </c>
      <c r="E110">
        <f>E109-C110</f>
        <v/>
      </c>
    </row>
    <row r="111">
      <c r="A111" t="n">
        <v>97</v>
      </c>
      <c r="B111">
        <f>$B$10</f>
        <v/>
      </c>
      <c r="C111">
        <f>$B$10-D111</f>
        <v/>
      </c>
      <c r="D111">
        <f>E110*$B$9</f>
        <v/>
      </c>
      <c r="E111">
        <f>E110-C111</f>
        <v/>
      </c>
    </row>
    <row r="112">
      <c r="A112" t="n">
        <v>98</v>
      </c>
      <c r="B112">
        <f>$B$10</f>
        <v/>
      </c>
      <c r="C112">
        <f>$B$10-D112</f>
        <v/>
      </c>
      <c r="D112">
        <f>E111*$B$9</f>
        <v/>
      </c>
      <c r="E112">
        <f>E111-C112</f>
        <v/>
      </c>
    </row>
    <row r="113">
      <c r="A113" t="n">
        <v>99</v>
      </c>
      <c r="B113">
        <f>$B$10</f>
        <v/>
      </c>
      <c r="C113">
        <f>$B$10-D113</f>
        <v/>
      </c>
      <c r="D113">
        <f>E112*$B$9</f>
        <v/>
      </c>
      <c r="E113">
        <f>E112-C113</f>
        <v/>
      </c>
    </row>
    <row r="114">
      <c r="A114" t="n">
        <v>100</v>
      </c>
      <c r="B114">
        <f>$B$10</f>
        <v/>
      </c>
      <c r="C114">
        <f>$B$10-D114</f>
        <v/>
      </c>
      <c r="D114">
        <f>E113*$B$9</f>
        <v/>
      </c>
      <c r="E114">
        <f>E113-C114</f>
        <v/>
      </c>
    </row>
    <row r="115">
      <c r="A115" t="n">
        <v>101</v>
      </c>
      <c r="B115">
        <f>$B$10</f>
        <v/>
      </c>
      <c r="C115">
        <f>$B$10-D115</f>
        <v/>
      </c>
      <c r="D115">
        <f>E114*$B$9</f>
        <v/>
      </c>
      <c r="E115">
        <f>E114-C115</f>
        <v/>
      </c>
    </row>
    <row r="116">
      <c r="A116" t="n">
        <v>102</v>
      </c>
      <c r="B116">
        <f>$B$10</f>
        <v/>
      </c>
      <c r="C116">
        <f>$B$10-D116</f>
        <v/>
      </c>
      <c r="D116">
        <f>E115*$B$9</f>
        <v/>
      </c>
      <c r="E116">
        <f>E115-C116</f>
        <v/>
      </c>
    </row>
    <row r="117">
      <c r="A117" t="n">
        <v>103</v>
      </c>
      <c r="B117">
        <f>$B$10</f>
        <v/>
      </c>
      <c r="C117">
        <f>$B$10-D117</f>
        <v/>
      </c>
      <c r="D117">
        <f>E116*$B$9</f>
        <v/>
      </c>
      <c r="E117">
        <f>E116-C117</f>
        <v/>
      </c>
    </row>
    <row r="118">
      <c r="A118" t="n">
        <v>104</v>
      </c>
      <c r="B118">
        <f>$B$10</f>
        <v/>
      </c>
      <c r="C118">
        <f>$B$10-D118</f>
        <v/>
      </c>
      <c r="D118">
        <f>E117*$B$9</f>
        <v/>
      </c>
      <c r="E118">
        <f>E117-C118</f>
        <v/>
      </c>
    </row>
    <row r="119">
      <c r="A119" t="n">
        <v>105</v>
      </c>
      <c r="B119">
        <f>$B$10</f>
        <v/>
      </c>
      <c r="C119">
        <f>$B$10-D119</f>
        <v/>
      </c>
      <c r="D119">
        <f>E118*$B$9</f>
        <v/>
      </c>
      <c r="E119">
        <f>E118-C119</f>
        <v/>
      </c>
    </row>
    <row r="120">
      <c r="A120" t="n">
        <v>106</v>
      </c>
      <c r="B120">
        <f>$B$10</f>
        <v/>
      </c>
      <c r="C120">
        <f>$B$10-D120</f>
        <v/>
      </c>
      <c r="D120">
        <f>E119*$B$9</f>
        <v/>
      </c>
      <c r="E120">
        <f>E119-C120</f>
        <v/>
      </c>
    </row>
    <row r="121">
      <c r="A121" t="n">
        <v>107</v>
      </c>
      <c r="B121">
        <f>$B$10</f>
        <v/>
      </c>
      <c r="C121">
        <f>$B$10-D121</f>
        <v/>
      </c>
      <c r="D121">
        <f>E120*$B$9</f>
        <v/>
      </c>
      <c r="E121">
        <f>E120-C121</f>
        <v/>
      </c>
    </row>
    <row r="122">
      <c r="A122" t="n">
        <v>108</v>
      </c>
      <c r="B122">
        <f>$B$10</f>
        <v/>
      </c>
      <c r="C122">
        <f>$B$10-D122</f>
        <v/>
      </c>
      <c r="D122">
        <f>E121*$B$9</f>
        <v/>
      </c>
      <c r="E122">
        <f>E121-C122</f>
        <v/>
      </c>
    </row>
    <row r="123">
      <c r="A123" t="n">
        <v>109</v>
      </c>
      <c r="B123">
        <f>$B$10</f>
        <v/>
      </c>
      <c r="C123">
        <f>$B$10-D123</f>
        <v/>
      </c>
      <c r="D123">
        <f>E122*$B$9</f>
        <v/>
      </c>
      <c r="E123">
        <f>E122-C123</f>
        <v/>
      </c>
    </row>
    <row r="124">
      <c r="A124" t="n">
        <v>110</v>
      </c>
      <c r="B124">
        <f>$B$10</f>
        <v/>
      </c>
      <c r="C124">
        <f>$B$10-D124</f>
        <v/>
      </c>
      <c r="D124">
        <f>E123*$B$9</f>
        <v/>
      </c>
      <c r="E124">
        <f>E123-C124</f>
        <v/>
      </c>
    </row>
    <row r="125">
      <c r="A125" t="n">
        <v>111</v>
      </c>
      <c r="B125">
        <f>$B$10</f>
        <v/>
      </c>
      <c r="C125">
        <f>$B$10-D125</f>
        <v/>
      </c>
      <c r="D125">
        <f>E124*$B$9</f>
        <v/>
      </c>
      <c r="E125">
        <f>E124-C125</f>
        <v/>
      </c>
    </row>
    <row r="126">
      <c r="A126" t="n">
        <v>112</v>
      </c>
      <c r="B126">
        <f>$B$10</f>
        <v/>
      </c>
      <c r="C126">
        <f>$B$10-D126</f>
        <v/>
      </c>
      <c r="D126">
        <f>E125*$B$9</f>
        <v/>
      </c>
      <c r="E126">
        <f>E125-C126</f>
        <v/>
      </c>
    </row>
    <row r="127">
      <c r="A127" t="n">
        <v>113</v>
      </c>
      <c r="B127">
        <f>$B$10</f>
        <v/>
      </c>
      <c r="C127">
        <f>$B$10-D127</f>
        <v/>
      </c>
      <c r="D127">
        <f>E126*$B$9</f>
        <v/>
      </c>
      <c r="E127">
        <f>E126-C127</f>
        <v/>
      </c>
    </row>
    <row r="128">
      <c r="A128" t="n">
        <v>114</v>
      </c>
      <c r="B128">
        <f>$B$10</f>
        <v/>
      </c>
      <c r="C128">
        <f>$B$10-D128</f>
        <v/>
      </c>
      <c r="D128">
        <f>E127*$B$9</f>
        <v/>
      </c>
      <c r="E128">
        <f>E127-C128</f>
        <v/>
      </c>
    </row>
    <row r="129">
      <c r="A129" t="n">
        <v>115</v>
      </c>
      <c r="B129">
        <f>$B$10</f>
        <v/>
      </c>
      <c r="C129">
        <f>$B$10-D129</f>
        <v/>
      </c>
      <c r="D129">
        <f>E128*$B$9</f>
        <v/>
      </c>
      <c r="E129">
        <f>E128-C129</f>
        <v/>
      </c>
    </row>
    <row r="130">
      <c r="A130" t="n">
        <v>116</v>
      </c>
      <c r="B130">
        <f>$B$10</f>
        <v/>
      </c>
      <c r="C130">
        <f>$B$10-D130</f>
        <v/>
      </c>
      <c r="D130">
        <f>E129*$B$9</f>
        <v/>
      </c>
      <c r="E130">
        <f>E129-C130</f>
        <v/>
      </c>
    </row>
    <row r="131">
      <c r="A131" t="n">
        <v>117</v>
      </c>
      <c r="B131">
        <f>$B$10</f>
        <v/>
      </c>
      <c r="C131">
        <f>$B$10-D131</f>
        <v/>
      </c>
      <c r="D131">
        <f>E130*$B$9</f>
        <v/>
      </c>
      <c r="E131">
        <f>E130-C131</f>
        <v/>
      </c>
    </row>
    <row r="132">
      <c r="A132" t="n">
        <v>118</v>
      </c>
      <c r="B132">
        <f>$B$10</f>
        <v/>
      </c>
      <c r="C132">
        <f>$B$10-D132</f>
        <v/>
      </c>
      <c r="D132">
        <f>E131*$B$9</f>
        <v/>
      </c>
      <c r="E132">
        <f>E131-C132</f>
        <v/>
      </c>
    </row>
    <row r="133">
      <c r="A133" t="n">
        <v>119</v>
      </c>
      <c r="B133">
        <f>$B$10</f>
        <v/>
      </c>
      <c r="C133">
        <f>$B$10-D133</f>
        <v/>
      </c>
      <c r="D133">
        <f>E132*$B$9</f>
        <v/>
      </c>
      <c r="E133">
        <f>E132-C133</f>
        <v/>
      </c>
    </row>
    <row r="134">
      <c r="A134" t="n">
        <v>120</v>
      </c>
      <c r="B134">
        <f>$B$10</f>
        <v/>
      </c>
      <c r="C134">
        <f>$B$10-D134</f>
        <v/>
      </c>
      <c r="D134">
        <f>E133*$B$9</f>
        <v/>
      </c>
      <c r="E134">
        <f>E133-C134</f>
        <v/>
      </c>
    </row>
    <row r="136">
      <c r="A136" s="2" t="inlineStr">
        <is>
          <t>Summary</t>
        </is>
      </c>
    </row>
    <row r="137">
      <c r="A137" t="inlineStr">
        <is>
          <t>Total Payments ($)</t>
        </is>
      </c>
      <c r="B137">
        <f>SUM(B15:B134)</f>
        <v/>
      </c>
    </row>
    <row r="138">
      <c r="A138" t="inlineStr">
        <is>
          <t>Total Interest ($)</t>
        </is>
      </c>
      <c r="B138">
        <f>SUM(D15:D134)</f>
        <v/>
      </c>
    </row>
    <row r="139">
      <c r="A139" t="inlineStr">
        <is>
          <t>Total Principal ($)</t>
        </is>
      </c>
      <c r="B139">
        <f>SUM(C15:C134)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